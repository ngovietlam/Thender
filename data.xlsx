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dmin\App\"/>
    </mc:Choice>
  </mc:AlternateContent>
  <xr:revisionPtr revIDLastSave="0" documentId="13_ncr:1_{D27CB847-9352-44B4-BFCA-76FFBF6AF759}" xr6:coauthVersionLast="36" xr6:coauthVersionMax="36" xr10:uidLastSave="{00000000-0000-0000-0000-000000000000}"/>
  <bookViews>
    <workbookView minimized="1" xWindow="0" yWindow="0" windowWidth="28800" windowHeight="12105" xr2:uid="{00000000-000D-0000-FFFF-FFFF00000000}"/>
  </bookViews>
  <sheets>
    <sheet name="DATA_IN" sheetId="1" r:id="rId1"/>
    <sheet name="DATA_OUT" sheetId="2" r:id="rId2"/>
    <sheet name="PARTNERS" sheetId="3" r:id="rId3"/>
  </sheets>
  <calcPr calcId="191029"/>
</workbook>
</file>

<file path=xl/calcChain.xml><?xml version="1.0" encoding="utf-8"?>
<calcChain xmlns="http://schemas.openxmlformats.org/spreadsheetml/2006/main">
  <c r="I9" i="1" l="1"/>
  <c r="H9" i="1"/>
  <c r="J9" i="1" s="1"/>
  <c r="I8" i="1"/>
  <c r="H8" i="1"/>
  <c r="J8" i="1" s="1"/>
  <c r="I2" i="2"/>
  <c r="I16" i="1"/>
  <c r="H16" i="1"/>
  <c r="J16" i="1" s="1"/>
  <c r="I15" i="1"/>
  <c r="H15" i="1"/>
  <c r="J15" i="1" s="1"/>
  <c r="I14" i="1"/>
  <c r="H14" i="1"/>
  <c r="J14" i="1" s="1"/>
  <c r="I13" i="1"/>
  <c r="H13" i="1"/>
  <c r="J13" i="1" s="1"/>
  <c r="I12" i="1"/>
  <c r="H12" i="1"/>
  <c r="J12" i="1" s="1"/>
  <c r="I11" i="1"/>
  <c r="H11" i="1"/>
  <c r="J11" i="1" s="1"/>
  <c r="I10" i="1"/>
  <c r="H10" i="1"/>
  <c r="J10" i="1" s="1"/>
  <c r="I7" i="1"/>
  <c r="H7" i="1"/>
  <c r="J7" i="1" s="1"/>
  <c r="I6" i="1"/>
  <c r="H6" i="1"/>
  <c r="J6" i="1" s="1"/>
  <c r="I5" i="1"/>
  <c r="H5" i="1"/>
  <c r="J5" i="1" s="1"/>
  <c r="I4" i="1"/>
  <c r="H4" i="1"/>
  <c r="J4" i="1" s="1"/>
  <c r="I3" i="1"/>
  <c r="H3" i="1"/>
  <c r="J3" i="1" s="1"/>
  <c r="I2" i="1"/>
  <c r="H2" i="1"/>
  <c r="J2" i="1" s="1"/>
  <c r="J2" i="2"/>
  <c r="G2" i="2"/>
  <c r="H2" i="2"/>
</calcChain>
</file>

<file path=xl/sharedStrings.xml><?xml version="1.0" encoding="utf-8"?>
<sst xmlns="http://schemas.openxmlformats.org/spreadsheetml/2006/main" count="148" uniqueCount="123">
  <si>
    <t>Ngày</t>
  </si>
  <si>
    <t>Mã nhập</t>
  </si>
  <si>
    <t>Tên hàng</t>
  </si>
  <si>
    <t>Số lượng</t>
  </si>
  <si>
    <t>Đơn giá</t>
  </si>
  <si>
    <t>Đơn vị tính</t>
  </si>
  <si>
    <t>% Thuế</t>
  </si>
  <si>
    <t>V (tiền thuế)</t>
  </si>
  <si>
    <t>Thành tiền (chưa V)</t>
  </si>
  <si>
    <t>Thành tiền (đã V)</t>
  </si>
  <si>
    <t>Số tiền phí</t>
  </si>
  <si>
    <t>Ngày hóa đơn</t>
  </si>
  <si>
    <t>Số hóa đơn</t>
  </si>
  <si>
    <t>Đối tác</t>
  </si>
  <si>
    <t>MN001</t>
  </si>
  <si>
    <t>Bút bi Thiên Long</t>
  </si>
  <si>
    <t>5,000</t>
  </si>
  <si>
    <t>Cây</t>
  </si>
  <si>
    <t>10,000</t>
  </si>
  <si>
    <t>HD001</t>
  </si>
  <si>
    <t>Cty Thiên Long</t>
  </si>
  <si>
    <t>MN002</t>
  </si>
  <si>
    <t>Giấy A4 Double A</t>
  </si>
  <si>
    <t>65,000</t>
  </si>
  <si>
    <t>Ram</t>
  </si>
  <si>
    <t>20,000</t>
  </si>
  <si>
    <t>Cty Double A</t>
  </si>
  <si>
    <t>MN003</t>
  </si>
  <si>
    <t>Mực in HP 12A</t>
  </si>
  <si>
    <t>1,200,000</t>
  </si>
  <si>
    <t>Hộp</t>
  </si>
  <si>
    <t>50,000</t>
  </si>
  <si>
    <t>HD003</t>
  </si>
  <si>
    <t>Cty HP Việt Nam</t>
  </si>
  <si>
    <t>MN004</t>
  </si>
  <si>
    <t>Chuột Logitech B100</t>
  </si>
  <si>
    <t>180,000</t>
  </si>
  <si>
    <t>Cái</t>
  </si>
  <si>
    <t>30,000</t>
  </si>
  <si>
    <t>HD004</t>
  </si>
  <si>
    <t>Logitech VN</t>
  </si>
  <si>
    <t>2025-12-05</t>
  </si>
  <si>
    <t>MN005</t>
  </si>
  <si>
    <t>Bàn phím Dell KB216</t>
  </si>
  <si>
    <t>1234</t>
  </si>
  <si>
    <t>Dell VN</t>
  </si>
  <si>
    <t>MN006</t>
  </si>
  <si>
    <t>Nước uống Lavie</t>
  </si>
  <si>
    <t>6,000</t>
  </si>
  <si>
    <t>Chai</t>
  </si>
  <si>
    <t>15,000</t>
  </si>
  <si>
    <t>HD006</t>
  </si>
  <si>
    <t>MN007</t>
  </si>
  <si>
    <t>Ghế xoay văn phòng</t>
  </si>
  <si>
    <t>Nội thất Hòa Phát</t>
  </si>
  <si>
    <t>2025-12-08</t>
  </si>
  <si>
    <t>MN008</t>
  </si>
  <si>
    <t>Bàn làm việc</t>
  </si>
  <si>
    <t>HD008</t>
  </si>
  <si>
    <t>Hoài Phương</t>
  </si>
  <si>
    <t>MN009</t>
  </si>
  <si>
    <t>USB Kingston 32GB</t>
  </si>
  <si>
    <t>150,000</t>
  </si>
  <si>
    <t>25,000</t>
  </si>
  <si>
    <t>HD009</t>
  </si>
  <si>
    <t>Kingston</t>
  </si>
  <si>
    <t>MN010</t>
  </si>
  <si>
    <t>Ổ cứng SSD 512GB</t>
  </si>
  <si>
    <t>1,600,000</t>
  </si>
  <si>
    <t>60,000</t>
  </si>
  <si>
    <t>HD010</t>
  </si>
  <si>
    <t>Samsung</t>
  </si>
  <si>
    <t>2025-12-24</t>
  </si>
  <si>
    <t>NK-20251224-001</t>
  </si>
  <si>
    <t>123123</t>
  </si>
  <si>
    <t>12123</t>
  </si>
  <si>
    <t>NK-20251208-001</t>
  </si>
  <si>
    <t>test</t>
  </si>
  <si>
    <t>Chiếc</t>
  </si>
  <si>
    <t>NK-20251208-002</t>
  </si>
  <si>
    <t>testssssssss</t>
  </si>
  <si>
    <t>1</t>
  </si>
  <si>
    <t>NK-20251208-003</t>
  </si>
  <si>
    <t>tesst14</t>
  </si>
  <si>
    <t>3</t>
  </si>
  <si>
    <t>2025-12-25</t>
  </si>
  <si>
    <t>NK-20251225-001</t>
  </si>
  <si>
    <t>test13</t>
  </si>
  <si>
    <t>6</t>
  </si>
  <si>
    <t>7</t>
  </si>
  <si>
    <t>8</t>
  </si>
  <si>
    <t>2025-12-23</t>
  </si>
  <si>
    <t>NK-20251223-001</t>
  </si>
  <si>
    <t>Name</t>
  </si>
  <si>
    <t>Hoàng Thịnh</t>
  </si>
  <si>
    <t>Bảo Vinh</t>
  </si>
  <si>
    <t>Kim Thiên Bảo</t>
  </si>
  <si>
    <t>Lê Huy</t>
  </si>
  <si>
    <t>Đại Tài Lộc</t>
  </si>
  <si>
    <t>Lê Phụng</t>
  </si>
  <si>
    <t>4utech</t>
  </si>
  <si>
    <t>Sound Việt</t>
  </si>
  <si>
    <t>Huy Phát</t>
  </si>
  <si>
    <t>An Thịnh Phát</t>
  </si>
  <si>
    <t>Tấn Hưng</t>
  </si>
  <si>
    <t>AV Việt</t>
  </si>
  <si>
    <t>Ngô Hoàng</t>
  </si>
  <si>
    <t>SV STORE</t>
  </si>
  <si>
    <t>Nhật Tảo</t>
  </si>
  <si>
    <t>Nguyễn Giang</t>
  </si>
  <si>
    <t>Ugreen</t>
  </si>
  <si>
    <t>NetworkHub</t>
  </si>
  <si>
    <t>Phát Đạt</t>
  </si>
  <si>
    <t>VTC</t>
  </si>
  <si>
    <t>Đồng Tiến</t>
  </si>
  <si>
    <t>Hoàng Phi</t>
  </si>
  <si>
    <t>Việt Lợi</t>
  </si>
  <si>
    <t>Nguyên Kim</t>
  </si>
  <si>
    <t>Nam Việt</t>
  </si>
  <si>
    <t>HDIT</t>
  </si>
  <si>
    <t>Megapos</t>
  </si>
  <si>
    <t>2025-12-07a</t>
  </si>
  <si>
    <t>HD007d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</si>
</sst>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tabSelected="1" topLeftCell="B1" zoomScaleNormal="100" workbookViewId="0">
      <selection activeCell="M8" sqref="M8"/>
    </sheetView>
  </sheetViews>
  <sheetFormatPr defaultRowHeight="15" x14ac:dyDescent="0.25"/>
  <cols>
    <col min="1" max="1" width="10.42578125" bestFit="1" customWidth="1"/>
    <col min="2" max="2" width="16.28515625" bestFit="1" customWidth="1"/>
    <col min="3" max="3" width="19.140625" bestFit="1" customWidth="1"/>
    <col min="4" max="4" width="8.85546875" bestFit="1" customWidth="1"/>
    <col min="5" max="5" width="9.140625" bestFit="1" customWidth="1"/>
    <col min="6" max="6" width="10.5703125" bestFit="1" customWidth="1"/>
    <col min="7" max="7" width="7.42578125" bestFit="1" customWidth="1"/>
    <col min="8" max="14" width="14.7109375" customWidth="1"/>
    <col min="15" max="15" width="11.7109375" bestFit="1" customWidth="1"/>
  </cols>
  <sheetData>
    <row r="1" spans="1:27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27" ht="30" customHeight="1" x14ac:dyDescent="0.25">
      <c r="A2" s="3">
        <v>45992</v>
      </c>
      <c r="B2" s="1" t="s">
        <v>14</v>
      </c>
      <c r="C2" s="1" t="s">
        <v>15</v>
      </c>
      <c r="D2" s="1">
        <v>100</v>
      </c>
      <c r="E2" s="1" t="s">
        <v>16</v>
      </c>
      <c r="F2" s="1" t="s">
        <v>17</v>
      </c>
      <c r="G2" s="4">
        <v>0.08</v>
      </c>
      <c r="H2" s="1" t="e">
        <f t="shared" ref="H2:H16" si="0">E2*G2</f>
        <v>#VALUE!</v>
      </c>
      <c r="I2" s="1" t="e">
        <f t="shared" ref="I2:I16" si="1">E2*D2</f>
        <v>#VALUE!</v>
      </c>
      <c r="J2" s="1" t="e">
        <f t="shared" ref="J2:J16" si="2">(E2+H2)*D2</f>
        <v>#VALUE!</v>
      </c>
      <c r="K2" s="1" t="s">
        <v>18</v>
      </c>
      <c r="L2" s="3">
        <v>45992</v>
      </c>
      <c r="M2" s="1" t="s">
        <v>19</v>
      </c>
      <c r="N2" s="1" t="s">
        <v>20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" customHeight="1" x14ac:dyDescent="0.25">
      <c r="A3" s="3">
        <v>45993</v>
      </c>
      <c r="B3" s="1" t="s">
        <v>21</v>
      </c>
      <c r="C3" s="1" t="s">
        <v>22</v>
      </c>
      <c r="D3" s="1">
        <v>50</v>
      </c>
      <c r="E3" s="1" t="s">
        <v>23</v>
      </c>
      <c r="F3" s="1" t="s">
        <v>24</v>
      </c>
      <c r="G3" s="4">
        <v>0.08</v>
      </c>
      <c r="H3" s="1" t="e">
        <f t="shared" si="0"/>
        <v>#VALUE!</v>
      </c>
      <c r="I3" s="1" t="e">
        <f t="shared" si="1"/>
        <v>#VALUE!</v>
      </c>
      <c r="J3" s="1" t="e">
        <f t="shared" si="2"/>
        <v>#VALUE!</v>
      </c>
      <c r="K3" s="1" t="s">
        <v>25</v>
      </c>
      <c r="L3" s="3">
        <v>45993</v>
      </c>
      <c r="M3" s="1"/>
      <c r="N3" s="1" t="s">
        <v>26</v>
      </c>
    </row>
    <row r="4" spans="1:27" ht="30" customHeight="1" x14ac:dyDescent="0.25">
      <c r="A4" s="3">
        <v>45994</v>
      </c>
      <c r="B4" s="1" t="s">
        <v>27</v>
      </c>
      <c r="C4" s="1" t="s">
        <v>28</v>
      </c>
      <c r="D4" s="1">
        <v>10</v>
      </c>
      <c r="E4" s="1" t="s">
        <v>29</v>
      </c>
      <c r="F4" s="1" t="s">
        <v>30</v>
      </c>
      <c r="G4" s="4">
        <v>0.1</v>
      </c>
      <c r="H4" s="1" t="e">
        <f t="shared" si="0"/>
        <v>#VALUE!</v>
      </c>
      <c r="I4" s="1" t="e">
        <f t="shared" si="1"/>
        <v>#VALUE!</v>
      </c>
      <c r="J4" s="1" t="e">
        <f t="shared" si="2"/>
        <v>#VALUE!</v>
      </c>
      <c r="K4" s="1" t="s">
        <v>31</v>
      </c>
      <c r="L4" s="3">
        <v>45994</v>
      </c>
      <c r="M4" s="1" t="s">
        <v>32</v>
      </c>
      <c r="N4" s="1" t="s">
        <v>33</v>
      </c>
    </row>
    <row r="5" spans="1:27" ht="30" customHeight="1" x14ac:dyDescent="0.25">
      <c r="A5" s="3">
        <v>45995</v>
      </c>
      <c r="B5" s="1" t="s">
        <v>34</v>
      </c>
      <c r="C5" s="1" t="s">
        <v>35</v>
      </c>
      <c r="D5" s="1">
        <v>20</v>
      </c>
      <c r="E5" s="1" t="s">
        <v>36</v>
      </c>
      <c r="F5" s="1" t="s">
        <v>37</v>
      </c>
      <c r="G5" s="4">
        <v>0.1</v>
      </c>
      <c r="H5" s="1" t="e">
        <f t="shared" si="0"/>
        <v>#VALUE!</v>
      </c>
      <c r="I5" s="1" t="e">
        <f t="shared" si="1"/>
        <v>#VALUE!</v>
      </c>
      <c r="J5" s="1" t="e">
        <f t="shared" si="2"/>
        <v>#VALUE!</v>
      </c>
      <c r="K5" s="1" t="s">
        <v>38</v>
      </c>
      <c r="L5" s="3"/>
      <c r="M5" s="1" t="s">
        <v>39</v>
      </c>
      <c r="N5" s="1" t="s">
        <v>40</v>
      </c>
    </row>
    <row r="6" spans="1:27" ht="30" customHeight="1" x14ac:dyDescent="0.25">
      <c r="A6" s="3" t="s">
        <v>41</v>
      </c>
      <c r="B6" s="1" t="s">
        <v>42</v>
      </c>
      <c r="C6" s="1" t="s">
        <v>43</v>
      </c>
      <c r="D6" s="1">
        <v>15</v>
      </c>
      <c r="E6" s="1">
        <v>350000</v>
      </c>
      <c r="F6" s="1" t="s">
        <v>37</v>
      </c>
      <c r="G6" s="4">
        <v>0.1</v>
      </c>
      <c r="H6" s="1">
        <f t="shared" si="0"/>
        <v>35000</v>
      </c>
      <c r="I6" s="1">
        <f t="shared" si="1"/>
        <v>5250000</v>
      </c>
      <c r="J6" s="1">
        <f t="shared" si="2"/>
        <v>5775000</v>
      </c>
      <c r="K6" s="1">
        <v>40000</v>
      </c>
      <c r="L6" s="3" t="s">
        <v>41</v>
      </c>
      <c r="M6" s="1" t="s">
        <v>44</v>
      </c>
      <c r="N6" s="1" t="s">
        <v>45</v>
      </c>
    </row>
    <row r="7" spans="1:27" ht="30" customHeight="1" x14ac:dyDescent="0.25">
      <c r="A7" s="3">
        <v>45997</v>
      </c>
      <c r="B7" s="1" t="s">
        <v>46</v>
      </c>
      <c r="C7" s="1" t="s">
        <v>47</v>
      </c>
      <c r="D7" s="1">
        <v>200</v>
      </c>
      <c r="E7" s="1" t="s">
        <v>48</v>
      </c>
      <c r="F7" s="1" t="s">
        <v>49</v>
      </c>
      <c r="G7" s="4">
        <v>0.05</v>
      </c>
      <c r="H7" s="1" t="e">
        <f t="shared" si="0"/>
        <v>#VALUE!</v>
      </c>
      <c r="I7" s="1" t="e">
        <f t="shared" si="1"/>
        <v>#VALUE!</v>
      </c>
      <c r="J7" s="1" t="e">
        <f t="shared" si="2"/>
        <v>#VALUE!</v>
      </c>
      <c r="K7" s="1" t="s">
        <v>50</v>
      </c>
      <c r="L7" s="3">
        <v>45997</v>
      </c>
      <c r="M7" s="1" t="s">
        <v>51</v>
      </c>
      <c r="N7" s="1"/>
    </row>
    <row r="8" spans="1:27" ht="30" customHeight="1" x14ac:dyDescent="0.25">
      <c r="A8" s="3">
        <v>45998</v>
      </c>
      <c r="B8" s="1" t="s">
        <v>52</v>
      </c>
      <c r="C8" s="1" t="s">
        <v>53</v>
      </c>
      <c r="D8" s="1">
        <v>5</v>
      </c>
      <c r="E8" s="1">
        <v>1500000</v>
      </c>
      <c r="F8" s="1" t="s">
        <v>37</v>
      </c>
      <c r="G8" s="4">
        <v>0.1</v>
      </c>
      <c r="H8" s="1">
        <f>E8*G8</f>
        <v>150000</v>
      </c>
      <c r="I8" s="1">
        <f>E8*D8</f>
        <v>7500000</v>
      </c>
      <c r="J8" s="1">
        <f>(E8+H8)*D8</f>
        <v>8250000</v>
      </c>
      <c r="K8" s="1">
        <v>100000</v>
      </c>
      <c r="L8" s="3" t="s">
        <v>121</v>
      </c>
      <c r="M8" s="1" t="s">
        <v>122</v>
      </c>
      <c r="N8" s="1" t="s">
        <v>54</v>
      </c>
    </row>
    <row r="9" spans="1:27" ht="30" customHeight="1" x14ac:dyDescent="0.25">
      <c r="A9" s="3">
        <v>45999</v>
      </c>
      <c r="B9" s="1" t="s">
        <v>56</v>
      </c>
      <c r="C9" s="1" t="s">
        <v>57</v>
      </c>
      <c r="D9" s="1">
        <v>3</v>
      </c>
      <c r="E9" s="1">
        <v>2800000</v>
      </c>
      <c r="F9" s="1" t="s">
        <v>37</v>
      </c>
      <c r="G9" s="4">
        <v>0.1</v>
      </c>
      <c r="H9" s="1">
        <f>E9*G9</f>
        <v>280000</v>
      </c>
      <c r="I9" s="1">
        <f>E9*D9</f>
        <v>8400000</v>
      </c>
      <c r="J9" s="1">
        <f>(E9+H9)*D9</f>
        <v>9240000</v>
      </c>
      <c r="K9" s="1">
        <v>12000500</v>
      </c>
      <c r="L9" s="3">
        <v>45999</v>
      </c>
      <c r="M9" s="1" t="s">
        <v>58</v>
      </c>
      <c r="N9" s="1" t="s">
        <v>59</v>
      </c>
    </row>
    <row r="10" spans="1:27" ht="30" customHeight="1" x14ac:dyDescent="0.25">
      <c r="A10" s="3">
        <v>46000</v>
      </c>
      <c r="B10" s="1" t="s">
        <v>60</v>
      </c>
      <c r="C10" s="1" t="s">
        <v>61</v>
      </c>
      <c r="D10" s="1">
        <v>30</v>
      </c>
      <c r="E10" s="1" t="s">
        <v>62</v>
      </c>
      <c r="F10" s="1" t="s">
        <v>37</v>
      </c>
      <c r="G10" s="4">
        <v>0.1</v>
      </c>
      <c r="H10" s="1" t="e">
        <f t="shared" si="0"/>
        <v>#VALUE!</v>
      </c>
      <c r="I10" s="1" t="e">
        <f t="shared" si="1"/>
        <v>#VALUE!</v>
      </c>
      <c r="J10" s="1" t="e">
        <f t="shared" si="2"/>
        <v>#VALUE!</v>
      </c>
      <c r="K10" s="1" t="s">
        <v>63</v>
      </c>
      <c r="L10" s="3">
        <v>46000</v>
      </c>
      <c r="M10" s="1" t="s">
        <v>64</v>
      </c>
      <c r="N10" s="1" t="s">
        <v>65</v>
      </c>
    </row>
    <row r="11" spans="1:27" ht="30" customHeight="1" x14ac:dyDescent="0.25">
      <c r="A11" s="3">
        <v>46001</v>
      </c>
      <c r="B11" s="1" t="s">
        <v>66</v>
      </c>
      <c r="C11" s="1" t="s">
        <v>67</v>
      </c>
      <c r="D11" s="1">
        <v>8</v>
      </c>
      <c r="E11" s="1" t="s">
        <v>68</v>
      </c>
      <c r="F11" s="1" t="s">
        <v>37</v>
      </c>
      <c r="G11" s="4">
        <v>0.1</v>
      </c>
      <c r="H11" s="1" t="e">
        <f t="shared" si="0"/>
        <v>#VALUE!</v>
      </c>
      <c r="I11" s="1" t="e">
        <f t="shared" si="1"/>
        <v>#VALUE!</v>
      </c>
      <c r="J11" s="1" t="e">
        <f t="shared" si="2"/>
        <v>#VALUE!</v>
      </c>
      <c r="K11" s="1" t="s">
        <v>69</v>
      </c>
      <c r="L11" s="3">
        <v>46001</v>
      </c>
      <c r="M11" s="1" t="s">
        <v>70</v>
      </c>
      <c r="N11" s="1" t="s">
        <v>71</v>
      </c>
    </row>
    <row r="12" spans="1:27" x14ac:dyDescent="0.25">
      <c r="A12" t="s">
        <v>72</v>
      </c>
      <c r="B12" t="s">
        <v>73</v>
      </c>
      <c r="C12" t="s">
        <v>74</v>
      </c>
      <c r="D12">
        <v>12312</v>
      </c>
      <c r="E12">
        <v>2131212</v>
      </c>
      <c r="F12" t="s">
        <v>75</v>
      </c>
      <c r="G12">
        <v>0</v>
      </c>
      <c r="H12">
        <f t="shared" si="0"/>
        <v>0</v>
      </c>
      <c r="I12" s="1">
        <f t="shared" si="1"/>
        <v>26239482144</v>
      </c>
      <c r="J12" s="1">
        <f t="shared" si="2"/>
        <v>26239482144</v>
      </c>
      <c r="K12">
        <v>0</v>
      </c>
    </row>
    <row r="13" spans="1:27" x14ac:dyDescent="0.25">
      <c r="A13" t="s">
        <v>55</v>
      </c>
      <c r="B13" t="s">
        <v>76</v>
      </c>
      <c r="C13" t="s">
        <v>77</v>
      </c>
      <c r="D13">
        <v>123</v>
      </c>
      <c r="E13">
        <v>123000</v>
      </c>
      <c r="F13" t="s">
        <v>78</v>
      </c>
      <c r="G13">
        <v>0.08</v>
      </c>
      <c r="H13">
        <f t="shared" si="0"/>
        <v>9840</v>
      </c>
      <c r="I13" s="1">
        <f t="shared" si="1"/>
        <v>15129000</v>
      </c>
      <c r="J13" s="1">
        <f t="shared" si="2"/>
        <v>16339320</v>
      </c>
      <c r="K13">
        <v>10000</v>
      </c>
    </row>
    <row r="14" spans="1:27" x14ac:dyDescent="0.25">
      <c r="A14" t="s">
        <v>55</v>
      </c>
      <c r="B14" t="s">
        <v>79</v>
      </c>
      <c r="C14" t="s">
        <v>80</v>
      </c>
      <c r="D14">
        <v>1</v>
      </c>
      <c r="E14">
        <v>1</v>
      </c>
      <c r="F14" t="s">
        <v>81</v>
      </c>
      <c r="G14">
        <v>0</v>
      </c>
      <c r="H14">
        <f t="shared" si="0"/>
        <v>0</v>
      </c>
      <c r="I14" s="1">
        <f t="shared" si="1"/>
        <v>1</v>
      </c>
      <c r="J14" s="1">
        <f t="shared" si="2"/>
        <v>1</v>
      </c>
      <c r="K14">
        <v>0</v>
      </c>
    </row>
    <row r="15" spans="1:27" x14ac:dyDescent="0.25">
      <c r="A15" t="s">
        <v>55</v>
      </c>
      <c r="B15" t="s">
        <v>82</v>
      </c>
      <c r="C15" t="s">
        <v>83</v>
      </c>
      <c r="D15">
        <v>1</v>
      </c>
      <c r="E15">
        <v>2</v>
      </c>
      <c r="F15" t="s">
        <v>84</v>
      </c>
      <c r="G15">
        <v>0.04</v>
      </c>
      <c r="H15">
        <f t="shared" si="0"/>
        <v>0.08</v>
      </c>
      <c r="I15">
        <f t="shared" si="1"/>
        <v>2</v>
      </c>
      <c r="J15">
        <f t="shared" si="2"/>
        <v>2.08</v>
      </c>
      <c r="K15">
        <v>5</v>
      </c>
    </row>
    <row r="16" spans="1:27" x14ac:dyDescent="0.25">
      <c r="A16" t="s">
        <v>85</v>
      </c>
      <c r="B16" t="s">
        <v>86</v>
      </c>
      <c r="C16" t="s">
        <v>87</v>
      </c>
      <c r="D16">
        <v>1</v>
      </c>
      <c r="E16">
        <v>2</v>
      </c>
      <c r="F16" t="s">
        <v>84</v>
      </c>
      <c r="G16">
        <v>0.04</v>
      </c>
      <c r="H16">
        <f t="shared" si="0"/>
        <v>0.08</v>
      </c>
      <c r="I16">
        <f t="shared" si="1"/>
        <v>2</v>
      </c>
      <c r="J16">
        <f t="shared" si="2"/>
        <v>2.08</v>
      </c>
      <c r="K16">
        <v>5</v>
      </c>
      <c r="L16" t="s">
        <v>88</v>
      </c>
      <c r="M16" t="s">
        <v>89</v>
      </c>
      <c r="N16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workbookViewId="0">
      <selection activeCell="D3" sqref="D3"/>
    </sheetView>
  </sheetViews>
  <sheetFormatPr defaultRowHeight="15" x14ac:dyDescent="0.25"/>
  <cols>
    <col min="1" max="1" width="10.42578125" bestFit="1" customWidth="1"/>
    <col min="2" max="2" width="16.140625" bestFit="1" customWidth="1"/>
  </cols>
  <sheetData>
    <row r="1" spans="1:14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91</v>
      </c>
      <c r="B2" t="s">
        <v>92</v>
      </c>
      <c r="C2" t="s">
        <v>77</v>
      </c>
      <c r="D2">
        <v>0</v>
      </c>
      <c r="F2">
        <v>0</v>
      </c>
      <c r="G2" t="str">
        <f ca="1">F2*H2</f>
        <v/>
      </c>
      <c r="H2" t="str">
        <f ca="1">E2*G2</f>
        <v/>
      </c>
      <c r="I2">
        <f>E2*D2</f>
        <v>0</v>
      </c>
      <c r="J2" t="str">
        <f ca="1">(E2+H2)*D2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topLeftCell="A16" workbookViewId="0">
      <selection activeCell="F23" sqref="F23"/>
    </sheetView>
  </sheetViews>
  <sheetFormatPr defaultRowHeight="15" x14ac:dyDescent="0.25"/>
  <cols>
    <col min="1" max="1" width="13.7109375" bestFit="1" customWidth="1"/>
  </cols>
  <sheetData>
    <row r="1" spans="1:1" x14ac:dyDescent="0.25">
      <c r="A1" t="s">
        <v>93</v>
      </c>
    </row>
    <row r="2" spans="1:1" x14ac:dyDescent="0.25">
      <c r="A2" t="s">
        <v>94</v>
      </c>
    </row>
    <row r="3" spans="1:1" x14ac:dyDescent="0.25">
      <c r="A3" t="s">
        <v>95</v>
      </c>
    </row>
    <row r="4" spans="1:1" x14ac:dyDescent="0.25">
      <c r="A4" t="s">
        <v>96</v>
      </c>
    </row>
    <row r="5" spans="1:1" x14ac:dyDescent="0.25">
      <c r="A5" t="s">
        <v>97</v>
      </c>
    </row>
    <row r="6" spans="1:1" x14ac:dyDescent="0.25">
      <c r="A6" t="s">
        <v>98</v>
      </c>
    </row>
    <row r="7" spans="1:1" x14ac:dyDescent="0.25">
      <c r="A7" t="s">
        <v>99</v>
      </c>
    </row>
    <row r="8" spans="1:1" x14ac:dyDescent="0.25">
      <c r="A8" t="s">
        <v>100</v>
      </c>
    </row>
    <row r="9" spans="1:1" x14ac:dyDescent="0.25">
      <c r="A9" t="s">
        <v>101</v>
      </c>
    </row>
    <row r="10" spans="1:1" x14ac:dyDescent="0.25">
      <c r="A10" t="s">
        <v>102</v>
      </c>
    </row>
    <row r="11" spans="1:1" x14ac:dyDescent="0.25">
      <c r="A11" t="s">
        <v>59</v>
      </c>
    </row>
    <row r="12" spans="1:1" x14ac:dyDescent="0.25">
      <c r="A12" t="s">
        <v>103</v>
      </c>
    </row>
    <row r="13" spans="1:1" x14ac:dyDescent="0.25">
      <c r="A13" t="s">
        <v>104</v>
      </c>
    </row>
    <row r="14" spans="1:1" x14ac:dyDescent="0.25">
      <c r="A14" t="s">
        <v>105</v>
      </c>
    </row>
    <row r="15" spans="1:1" x14ac:dyDescent="0.25">
      <c r="A15" t="s">
        <v>106</v>
      </c>
    </row>
    <row r="16" spans="1:1" x14ac:dyDescent="0.25">
      <c r="A16" t="s">
        <v>107</v>
      </c>
    </row>
    <row r="17" spans="1:1" x14ac:dyDescent="0.25">
      <c r="A17" t="s">
        <v>108</v>
      </c>
    </row>
    <row r="18" spans="1:1" x14ac:dyDescent="0.25">
      <c r="A18" t="s">
        <v>109</v>
      </c>
    </row>
    <row r="19" spans="1:1" x14ac:dyDescent="0.25">
      <c r="A19" t="s">
        <v>110</v>
      </c>
    </row>
    <row r="20" spans="1:1" x14ac:dyDescent="0.25">
      <c r="A20" t="s">
        <v>111</v>
      </c>
    </row>
    <row r="21" spans="1:1" x14ac:dyDescent="0.25">
      <c r="A21" t="s">
        <v>112</v>
      </c>
    </row>
    <row r="22" spans="1:1" x14ac:dyDescent="0.25">
      <c r="A22" t="s">
        <v>113</v>
      </c>
    </row>
    <row r="23" spans="1:1" x14ac:dyDescent="0.25">
      <c r="A23" t="s">
        <v>114</v>
      </c>
    </row>
    <row r="24" spans="1:1" x14ac:dyDescent="0.25">
      <c r="A24" t="s">
        <v>115</v>
      </c>
    </row>
    <row r="25" spans="1:1" x14ac:dyDescent="0.25">
      <c r="A25" t="s">
        <v>116</v>
      </c>
    </row>
    <row r="26" spans="1:1" x14ac:dyDescent="0.25">
      <c r="A26" t="s">
        <v>117</v>
      </c>
    </row>
    <row r="27" spans="1:1" x14ac:dyDescent="0.25">
      <c r="A27" t="s">
        <v>118</v>
      </c>
    </row>
    <row r="28" spans="1:1" x14ac:dyDescent="0.25">
      <c r="A28" t="s">
        <v>119</v>
      </c>
    </row>
    <row r="29" spans="1:1" x14ac:dyDescent="0.25">
      <c r="A29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DATA_IN</vt:lpstr>
      <vt:lpstr>DATA_OUT</vt:lpstr>
      <vt:lpstr>PARTNERS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2025-12-22T09:01:33Z</dcterms:created>
  <dcterms:modified xsi:type="dcterms:W3CDTF">2025-12-24T17:22:31Z</dcterms:modified>
</cp:coreProperties>
</file>