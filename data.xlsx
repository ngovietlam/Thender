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dmin\Application\NhapLieu\"/>
    </mc:Choice>
  </mc:AlternateContent>
  <xr:revisionPtr revIDLastSave="0" documentId="13_ncr:1_{1F008FC4-C3C1-4F02-B209-81DF1B1927D6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DATA_IN" sheetId="1" r:id="rId1"/>
    <sheet name="DATA_OUT" sheetId="2" r:id="rId2"/>
    <sheet name="PARTNERS" sheetId="3" r:id="rId3"/>
  </sheets>
  <calcPr calcId="191029"/>
</workbook>
</file>

<file path=xl/calcChain.xml><?xml version="1.0" encoding="utf-8"?>
<calcChain xmlns="http://schemas.openxmlformats.org/spreadsheetml/2006/main">
  <c r="I2" i="2" l="1"/>
  <c r="I7" i="1"/>
  <c r="I6" i="1"/>
  <c r="J5" i="1"/>
  <c r="K5" i="1" s="1"/>
  <c r="I5" i="1"/>
  <c r="J4" i="1"/>
  <c r="K4" i="1" s="1"/>
  <c r="I4" i="1"/>
  <c r="J3" i="1"/>
  <c r="K3" i="1" s="1"/>
  <c r="I3" i="1"/>
  <c r="K2" i="1"/>
  <c r="J2" i="1"/>
  <c r="I2" i="1"/>
  <c r="J7" i="1"/>
  <c r="H7" i="1"/>
  <c r="J6" i="1"/>
  <c r="J2" i="2"/>
  <c r="H2" i="2"/>
  <c r="H6" i="1"/>
</calcChain>
</file>

<file path=xl/sharedStrings.xml><?xml version="1.0" encoding="utf-8"?>
<sst xmlns="http://schemas.openxmlformats.org/spreadsheetml/2006/main" count="97" uniqueCount="67">
  <si>
    <t>Ngày</t>
  </si>
  <si>
    <t>Mã nhập</t>
  </si>
  <si>
    <t>Tên hàng</t>
  </si>
  <si>
    <t>Loại</t>
  </si>
  <si>
    <t>Số lượng</t>
  </si>
  <si>
    <t>Đơn giá</t>
  </si>
  <si>
    <t>Đơn vị tính</t>
  </si>
  <si>
    <t>% Thuế</t>
  </si>
  <si>
    <t>V (tiền thuế)</t>
  </si>
  <si>
    <t>Thành tiền (chưa V)</t>
  </si>
  <si>
    <t>Thành tiền (đã V)</t>
  </si>
  <si>
    <t>Số tiền phí</t>
  </si>
  <si>
    <t>Ngày hóa đơn</t>
  </si>
  <si>
    <t>Số hóa đơn</t>
  </si>
  <si>
    <t>Đối tác</t>
  </si>
  <si>
    <t>2025-12-21</t>
  </si>
  <si>
    <t>NH-20251222-001</t>
  </si>
  <si>
    <t>àaf</t>
  </si>
  <si>
    <t>IN</t>
  </si>
  <si>
    <t>Cái</t>
  </si>
  <si>
    <t>12/12</t>
  </si>
  <si>
    <t>124</t>
  </si>
  <si>
    <t>Nguyên Kim</t>
  </si>
  <si>
    <t>2025-12-22</t>
  </si>
  <si>
    <t>NH-20251223-001</t>
  </si>
  <si>
    <t>Hấdsad</t>
  </si>
  <si>
    <t>123</t>
  </si>
  <si>
    <t>123123321</t>
  </si>
  <si>
    <t>1223</t>
  </si>
  <si>
    <t>Bảo Vinh</t>
  </si>
  <si>
    <t>2025-12-23</t>
  </si>
  <si>
    <t>NH-20251223-003</t>
  </si>
  <si>
    <t>âs</t>
  </si>
  <si>
    <t>NH-20251222-002</t>
  </si>
  <si>
    <t>Ổ cứng SSD Apacer AS350X 2.5" 7mm SATAIII
512GB</t>
  </si>
  <si>
    <t>23/12</t>
  </si>
  <si>
    <t>11354</t>
  </si>
  <si>
    <t>NetworkHub</t>
  </si>
  <si>
    <t>NK-20251223-001</t>
  </si>
  <si>
    <t>test</t>
  </si>
  <si>
    <t>22</t>
  </si>
  <si>
    <t>Name</t>
  </si>
  <si>
    <t>Hoàng Thịnh</t>
  </si>
  <si>
    <t>Kim Thiên Bảo</t>
  </si>
  <si>
    <t>Lê Huy</t>
  </si>
  <si>
    <t>Đại Tài Lộc</t>
  </si>
  <si>
    <t>Lê Phụng</t>
  </si>
  <si>
    <t>4utech</t>
  </si>
  <si>
    <t>Sound Việt</t>
  </si>
  <si>
    <t>Huy Phát</t>
  </si>
  <si>
    <t>Hoài Phương</t>
  </si>
  <si>
    <t>An Thịnh Phát</t>
  </si>
  <si>
    <t>Tấn Hưng</t>
  </si>
  <si>
    <t>AV Việt</t>
  </si>
  <si>
    <t>Ngô Hoàng</t>
  </si>
  <si>
    <t>SV STORE</t>
  </si>
  <si>
    <t>Nhật Tảo</t>
  </si>
  <si>
    <t>Nguyễn Giang</t>
  </si>
  <si>
    <t>Ugreen</t>
  </si>
  <si>
    <t>Phát Đạt</t>
  </si>
  <si>
    <t>VTC</t>
  </si>
  <si>
    <t>Đồng Tiến</t>
  </si>
  <si>
    <t>Hoàng Phi</t>
  </si>
  <si>
    <t>Việt Lợi</t>
  </si>
  <si>
    <t>Nam Việt</t>
  </si>
  <si>
    <t>HDIT</t>
  </si>
  <si>
    <t>Megapos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</si>
</sst>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7"/>
  <sheetViews>
    <sheetView tabSelected="1" workbookViewId="0">
      <selection activeCell="N15" sqref="N15"/>
    </sheetView>
  </sheetViews>
  <sheetFormatPr defaultRowHeight="15" x14ac:dyDescent="0.25"/>
  <cols>
    <col min="1" max="1" width="10.42578125" bestFit="1" customWidth="1"/>
    <col min="2" max="2" width="16.28515625" bestFit="1" customWidth="1"/>
    <col min="3" max="3" width="46" bestFit="1" customWidth="1"/>
    <col min="4" max="4" width="4.5703125" bestFit="1" customWidth="1"/>
    <col min="5" max="5" width="8.85546875" bestFit="1" customWidth="1"/>
    <col min="6" max="6" width="8" bestFit="1" customWidth="1"/>
    <col min="7" max="7" width="7.140625" bestFit="1" customWidth="1"/>
    <col min="8" max="8" width="7.42578125" bestFit="1" customWidth="1"/>
    <col min="10" max="10" width="8.42578125" bestFit="1" customWidth="1"/>
    <col min="15" max="15" width="11.7109375" bestFit="1" customWidth="1"/>
  </cols>
  <sheetData>
    <row r="1" spans="1:28" ht="4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28" x14ac:dyDescent="0.25">
      <c r="A2" t="s">
        <v>15</v>
      </c>
      <c r="B2" t="s">
        <v>16</v>
      </c>
      <c r="C2" t="s">
        <v>17</v>
      </c>
      <c r="D2" t="s">
        <v>18</v>
      </c>
      <c r="E2">
        <v>12</v>
      </c>
      <c r="F2">
        <v>13000</v>
      </c>
      <c r="G2" t="s">
        <v>19</v>
      </c>
      <c r="H2">
        <v>0.08</v>
      </c>
      <c r="I2">
        <f>F2*H2</f>
        <v>1040</v>
      </c>
      <c r="J2">
        <f>F2*E2</f>
        <v>156000</v>
      </c>
      <c r="K2">
        <f>J2+I2</f>
        <v>157040</v>
      </c>
      <c r="L2">
        <v>122000</v>
      </c>
      <c r="M2" t="s">
        <v>20</v>
      </c>
      <c r="N2" t="s">
        <v>21</v>
      </c>
      <c r="O2" t="s">
        <v>22</v>
      </c>
    </row>
    <row r="3" spans="1:28" ht="30" customHeight="1" x14ac:dyDescent="0.25">
      <c r="A3" t="s">
        <v>23</v>
      </c>
      <c r="B3" t="s">
        <v>24</v>
      </c>
      <c r="C3" t="s">
        <v>25</v>
      </c>
      <c r="D3" t="s">
        <v>18</v>
      </c>
      <c r="E3">
        <v>12</v>
      </c>
      <c r="F3">
        <v>1231</v>
      </c>
      <c r="G3" t="s">
        <v>26</v>
      </c>
      <c r="H3">
        <v>0.01</v>
      </c>
      <c r="I3">
        <f>F3*H3</f>
        <v>12.31</v>
      </c>
      <c r="J3" s="2">
        <f>F3*E3</f>
        <v>14772</v>
      </c>
      <c r="K3" s="2">
        <f>J3+I3</f>
        <v>14784.31</v>
      </c>
      <c r="L3">
        <v>12000</v>
      </c>
      <c r="M3" s="1" t="s">
        <v>27</v>
      </c>
      <c r="N3" s="2" t="s">
        <v>28</v>
      </c>
      <c r="O3" s="2" t="s">
        <v>29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5">
      <c r="A4" t="s">
        <v>30</v>
      </c>
      <c r="B4" t="s">
        <v>31</v>
      </c>
      <c r="C4" t="s">
        <v>32</v>
      </c>
      <c r="D4" t="s">
        <v>18</v>
      </c>
      <c r="E4">
        <v>12</v>
      </c>
      <c r="F4">
        <v>123</v>
      </c>
      <c r="G4" t="s">
        <v>26</v>
      </c>
      <c r="H4">
        <v>0.01</v>
      </c>
      <c r="I4">
        <f>F4*H4</f>
        <v>1.23</v>
      </c>
      <c r="J4" s="2">
        <f>F4*E4</f>
        <v>1476</v>
      </c>
      <c r="K4" s="2">
        <f>J4+I4</f>
        <v>1477.23</v>
      </c>
      <c r="L4">
        <v>0</v>
      </c>
      <c r="M4" s="1"/>
    </row>
    <row r="5" spans="1:28" x14ac:dyDescent="0.25">
      <c r="A5" t="s">
        <v>23</v>
      </c>
      <c r="B5" t="s">
        <v>33</v>
      </c>
      <c r="C5" t="s">
        <v>34</v>
      </c>
      <c r="D5" t="s">
        <v>18</v>
      </c>
      <c r="E5">
        <v>1</v>
      </c>
      <c r="F5">
        <v>1203704</v>
      </c>
      <c r="G5" t="s">
        <v>19</v>
      </c>
      <c r="H5">
        <v>0.08</v>
      </c>
      <c r="I5">
        <f>F5*H5</f>
        <v>96296.320000000007</v>
      </c>
      <c r="J5" s="2">
        <f>F5*E5</f>
        <v>1203704</v>
      </c>
      <c r="K5" s="2">
        <f>J5+I5</f>
        <v>1300000.32</v>
      </c>
      <c r="L5">
        <v>0</v>
      </c>
      <c r="M5" t="s">
        <v>35</v>
      </c>
      <c r="N5" t="s">
        <v>36</v>
      </c>
      <c r="O5" t="s">
        <v>37</v>
      </c>
    </row>
    <row r="6" spans="1:28" x14ac:dyDescent="0.25">
      <c r="A6" t="s">
        <v>30</v>
      </c>
      <c r="B6" t="s">
        <v>26</v>
      </c>
      <c r="D6">
        <v>1</v>
      </c>
      <c r="E6">
        <v>1111</v>
      </c>
      <c r="G6">
        <v>0</v>
      </c>
      <c r="H6" t="str">
        <f ca="1">F6*H6</f>
        <v/>
      </c>
      <c r="I6">
        <f>F6*E6</f>
        <v>0</v>
      </c>
      <c r="J6" s="2" t="str">
        <f ca="1">J6+I6</f>
        <v/>
      </c>
      <c r="K6" s="2">
        <v>0</v>
      </c>
    </row>
    <row r="7" spans="1:28" x14ac:dyDescent="0.25">
      <c r="A7" t="s">
        <v>30</v>
      </c>
      <c r="B7" t="s">
        <v>38</v>
      </c>
      <c r="C7" t="s">
        <v>39</v>
      </c>
      <c r="D7">
        <v>1</v>
      </c>
      <c r="E7">
        <v>2222</v>
      </c>
      <c r="F7" t="s">
        <v>40</v>
      </c>
      <c r="G7">
        <v>0.01</v>
      </c>
      <c r="H7" t="str">
        <f ca="1">F7*H7</f>
        <v/>
      </c>
      <c r="I7">
        <f>F7*E7</f>
        <v>48884</v>
      </c>
      <c r="J7" s="2" t="str">
        <f ca="1">J7+I7</f>
        <v/>
      </c>
      <c r="K7" s="2">
        <v>2222</v>
      </c>
    </row>
    <row r="8" spans="1:28" x14ac:dyDescent="0.25">
      <c r="A8" s="1"/>
      <c r="B8" s="1"/>
      <c r="C8" s="1"/>
      <c r="D8" s="1"/>
      <c r="J8" s="2"/>
      <c r="K8" s="2"/>
    </row>
    <row r="9" spans="1:28" x14ac:dyDescent="0.25">
      <c r="J9" s="2"/>
      <c r="K9" s="2"/>
    </row>
    <row r="10" spans="1:28" x14ac:dyDescent="0.25">
      <c r="J10" s="2"/>
      <c r="K10" s="2"/>
    </row>
    <row r="11" spans="1:28" x14ac:dyDescent="0.25">
      <c r="J11" s="2"/>
      <c r="K11" s="2"/>
    </row>
    <row r="12" spans="1:28" x14ac:dyDescent="0.25">
      <c r="J12" s="2"/>
      <c r="K12" s="2"/>
    </row>
    <row r="13" spans="1:28" x14ac:dyDescent="0.25">
      <c r="J13" s="2"/>
      <c r="K13" s="2"/>
    </row>
    <row r="14" spans="1:28" x14ac:dyDescent="0.25">
      <c r="J14" s="2"/>
      <c r="K14" s="2"/>
    </row>
    <row r="15" spans="1:28" x14ac:dyDescent="0.25">
      <c r="J15" s="2"/>
      <c r="K15" s="2"/>
    </row>
    <row r="16" spans="1:28" x14ac:dyDescent="0.25">
      <c r="J16" s="2"/>
      <c r="K16" s="2"/>
    </row>
    <row r="17" spans="10:11" x14ac:dyDescent="0.25">
      <c r="J17" s="2"/>
      <c r="K1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workbookViewId="0">
      <selection activeCell="D3" sqref="D3"/>
    </sheetView>
  </sheetViews>
  <sheetFormatPr defaultRowHeight="15" x14ac:dyDescent="0.25"/>
  <cols>
    <col min="1" max="1" width="10.42578125" bestFit="1" customWidth="1"/>
    <col min="2" max="2" width="16.140625" bestFit="1" customWidth="1"/>
  </cols>
  <sheetData>
    <row r="1" spans="1:15" ht="4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x14ac:dyDescent="0.25">
      <c r="A2" t="s">
        <v>30</v>
      </c>
      <c r="B2" t="s">
        <v>38</v>
      </c>
      <c r="C2" t="s">
        <v>39</v>
      </c>
      <c r="D2">
        <v>1</v>
      </c>
      <c r="E2">
        <v>0</v>
      </c>
      <c r="G2">
        <v>0</v>
      </c>
      <c r="H2" t="str">
        <f ca="1">F2*H2</f>
        <v/>
      </c>
      <c r="I2">
        <f>F2*E2</f>
        <v>0</v>
      </c>
      <c r="J2" t="str">
        <f ca="1">J2+I2</f>
        <v/>
      </c>
      <c r="K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9"/>
  <sheetViews>
    <sheetView topLeftCell="A16" workbookViewId="0">
      <selection activeCell="F23" sqref="F23"/>
    </sheetView>
  </sheetViews>
  <sheetFormatPr defaultRowHeight="15" x14ac:dyDescent="0.25"/>
  <cols>
    <col min="1" max="1" width="13.7109375" bestFit="1" customWidth="1"/>
  </cols>
  <sheetData>
    <row r="1" spans="1:1" x14ac:dyDescent="0.25">
      <c r="A1" t="s">
        <v>41</v>
      </c>
    </row>
    <row r="2" spans="1:1" x14ac:dyDescent="0.25">
      <c r="A2" t="s">
        <v>42</v>
      </c>
    </row>
    <row r="3" spans="1:1" x14ac:dyDescent="0.25">
      <c r="A3" t="s">
        <v>29</v>
      </c>
    </row>
    <row r="4" spans="1:1" x14ac:dyDescent="0.25">
      <c r="A4" t="s">
        <v>43</v>
      </c>
    </row>
    <row r="5" spans="1:1" x14ac:dyDescent="0.25">
      <c r="A5" t="s">
        <v>44</v>
      </c>
    </row>
    <row r="6" spans="1:1" x14ac:dyDescent="0.25">
      <c r="A6" t="s">
        <v>45</v>
      </c>
    </row>
    <row r="7" spans="1:1" x14ac:dyDescent="0.25">
      <c r="A7" t="s">
        <v>46</v>
      </c>
    </row>
    <row r="8" spans="1:1" x14ac:dyDescent="0.25">
      <c r="A8" t="s">
        <v>47</v>
      </c>
    </row>
    <row r="9" spans="1:1" x14ac:dyDescent="0.25">
      <c r="A9" t="s">
        <v>48</v>
      </c>
    </row>
    <row r="10" spans="1:1" x14ac:dyDescent="0.25">
      <c r="A10" t="s">
        <v>49</v>
      </c>
    </row>
    <row r="11" spans="1:1" x14ac:dyDescent="0.25">
      <c r="A11" t="s">
        <v>50</v>
      </c>
    </row>
    <row r="12" spans="1:1" x14ac:dyDescent="0.25">
      <c r="A12" t="s">
        <v>51</v>
      </c>
    </row>
    <row r="13" spans="1:1" x14ac:dyDescent="0.25">
      <c r="A13" t="s">
        <v>52</v>
      </c>
    </row>
    <row r="14" spans="1:1" x14ac:dyDescent="0.25">
      <c r="A14" t="s">
        <v>53</v>
      </c>
    </row>
    <row r="15" spans="1:1" x14ac:dyDescent="0.25">
      <c r="A15" t="s">
        <v>54</v>
      </c>
    </row>
    <row r="16" spans="1:1" x14ac:dyDescent="0.25">
      <c r="A16" t="s">
        <v>55</v>
      </c>
    </row>
    <row r="17" spans="1:1" x14ac:dyDescent="0.25">
      <c r="A17" t="s">
        <v>56</v>
      </c>
    </row>
    <row r="18" spans="1:1" x14ac:dyDescent="0.25">
      <c r="A18" t="s">
        <v>57</v>
      </c>
    </row>
    <row r="19" spans="1:1" x14ac:dyDescent="0.25">
      <c r="A19" t="s">
        <v>58</v>
      </c>
    </row>
    <row r="20" spans="1:1" x14ac:dyDescent="0.25">
      <c r="A20" t="s">
        <v>37</v>
      </c>
    </row>
    <row r="21" spans="1:1" x14ac:dyDescent="0.25">
      <c r="A21" t="s">
        <v>59</v>
      </c>
    </row>
    <row r="22" spans="1:1" x14ac:dyDescent="0.25">
      <c r="A22" t="s">
        <v>60</v>
      </c>
    </row>
    <row r="23" spans="1:1" x14ac:dyDescent="0.25">
      <c r="A23" t="s">
        <v>61</v>
      </c>
    </row>
    <row r="24" spans="1:1" x14ac:dyDescent="0.25">
      <c r="A24" t="s">
        <v>62</v>
      </c>
    </row>
    <row r="25" spans="1:1" x14ac:dyDescent="0.25">
      <c r="A25" t="s">
        <v>63</v>
      </c>
    </row>
    <row r="26" spans="1:1" x14ac:dyDescent="0.25">
      <c r="A26" t="s">
        <v>22</v>
      </c>
    </row>
    <row r="27" spans="1:1" x14ac:dyDescent="0.25">
      <c r="A27" t="s">
        <v>64</v>
      </c>
    </row>
    <row r="28" spans="1:1" x14ac:dyDescent="0.25">
      <c r="A28" t="s">
        <v>65</v>
      </c>
    </row>
    <row r="29" spans="1:1" x14ac:dyDescent="0.25">
      <c r="A29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DATA_IN</vt:lpstr>
      <vt:lpstr>DATA_OUT</vt:lpstr>
      <vt:lpstr>PARTNERS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2025-12-22T09:01:33Z</dcterms:created>
  <dcterms:modified xsi:type="dcterms:W3CDTF">2025-12-23T09:03:12Z</dcterms:modified>
</cp:coreProperties>
</file>